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2"/>
  <workbookPr/>
  <bookViews>
    <workbookView xWindow="-110" yWindow="-110" windowWidth="19420" windowHeight="10420" tabRatio="500" activeTab="1"/>
  </bookViews>
  <sheets>
    <sheet name="Instructions" sheetId="1" r:id="rId1"/>
    <sheet name="Daily Log" sheetId="2" r:id="rId2"/>
  </sheets>
  <calcPr calcId="144525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7" i="2" l="1"/>
  <c r="J8" i="2"/>
  <c r="J9" i="2"/>
  <c r="I7" i="2"/>
  <c r="I8" i="2"/>
  <c r="I9" i="2"/>
  <c r="I36" i="2" l="1"/>
  <c r="I10" i="2" l="1"/>
  <c r="I404" i="2" l="1"/>
  <c r="J404" i="2" s="1"/>
  <c r="I403" i="2"/>
  <c r="J403" i="2" s="1"/>
  <c r="I402" i="2"/>
  <c r="J402" i="2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J10" i="2"/>
  <c r="I6" i="2"/>
  <c r="J6" i="2" l="1"/>
</calcChain>
</file>

<file path=xl/sharedStrings.xml><?xml version="1.0" encoding="utf-8"?>
<sst xmlns="http://schemas.openxmlformats.org/spreadsheetml/2006/main" count="201" uniqueCount="96">
  <si>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</si>
  <si>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</si>
  <si>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</si>
  <si>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</si>
  <si>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</si>
  <si>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</si>
  <si>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</si>
  <si>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</si>
  <si>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</si>
  <si>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</si>
  <si>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</si>
  <si>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</si>
  <si>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</si>
  <si>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</si>
  <si>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</si>
  <si>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</si>
  <si>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</si>
  <si>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</si>
  <si>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</si>
  <si>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</si>
  <si>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</si>
  <si>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</si>
  <si>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</si>
  <si>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</si>
  <si>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</si>
  <si>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</si>
  <si>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</si>
  <si>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</si>
  <si>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</si>
  <si>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</si>
  <si>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</si>
  <si>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</si>
  <si>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</si>
  <si>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</si>
  <si>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</si>
  <si>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</si>
  <si>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</si>
  <si>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</si>
  <si>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</si>
  <si>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</si>
  <si>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</si>
  <si>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</si>
  <si>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</si>
  <si>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</si>
  <si>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</si>
  <si>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</si>
  <si>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</si>
  <si>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</si>
  <si>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</si>
  <si>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</si>
  <si>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</si>
  <si>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</si>
  <si>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</si>
  <si>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</si>
  <si>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Tanu Sharma</t>
  </si>
  <si>
    <t xml:space="preserve">MCA </t>
  </si>
  <si>
    <t>August</t>
  </si>
  <si>
    <t>ok</t>
  </si>
  <si>
    <t>v.Good</t>
  </si>
  <si>
    <t>Normal</t>
  </si>
  <si>
    <t>OK</t>
  </si>
  <si>
    <t>Tired</t>
  </si>
  <si>
    <t>Happy</t>
  </si>
  <si>
    <t>not Satsfied</t>
  </si>
  <si>
    <t>mentally tired</t>
  </si>
  <si>
    <t>not ok</t>
  </si>
  <si>
    <t xml:space="preserve">free day convert into busy day </t>
  </si>
  <si>
    <t>high</t>
  </si>
  <si>
    <t>feel weak</t>
  </si>
  <si>
    <t>V.Good</t>
  </si>
  <si>
    <t>bit tired</t>
  </si>
  <si>
    <t>low</t>
  </si>
  <si>
    <t>feel tense</t>
  </si>
  <si>
    <t>feel low</t>
  </si>
  <si>
    <t>medical issues</t>
  </si>
  <si>
    <t xml:space="preserve">discuss about project </t>
  </si>
  <si>
    <t>linkedinprofille update</t>
  </si>
  <si>
    <t>exhausted</t>
  </si>
  <si>
    <t>tired</t>
  </si>
  <si>
    <t>Neutral</t>
  </si>
  <si>
    <t>Active</t>
  </si>
  <si>
    <t>Worked on database, C++, Python extra codes.</t>
  </si>
  <si>
    <t>Give CA of database sucessfully and parctice for freshers party</t>
  </si>
  <si>
    <t>Exhauted but happy</t>
  </si>
  <si>
    <t xml:space="preserve">todays enjoyed freshers party  </t>
  </si>
  <si>
    <t xml:space="preserve">Exhauted </t>
  </si>
  <si>
    <t>lil bit hectic</t>
  </si>
  <si>
    <t>take ride</t>
  </si>
  <si>
    <t>read about dsa</t>
  </si>
  <si>
    <t>prepare for python CA</t>
  </si>
  <si>
    <t xml:space="preserve">Gave python CA </t>
  </si>
  <si>
    <t xml:space="preserve">not much </t>
  </si>
  <si>
    <t>practice maths topic percentage</t>
  </si>
  <si>
    <t>start to add personal data</t>
  </si>
  <si>
    <t>good vibes</t>
  </si>
  <si>
    <t xml:space="preserve">start learning coding basic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</si>
</sst>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yyyy\-mm\-dd"/>
  </numFmts>
  <fonts count="13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sz val="1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  <xf numFmtId="1" fontId="12" fillId="0" borderId="1" xfId="0" applyNumberFormat="1" applyFont="1" applyBorder="1" applyAlignment="1">
      <alignment horizontal="center" vertical="center" wrapText="1"/>
    </xf>
    <xf numFmtId="1" fontId="12" fillId="2" borderId="1" xfId="0" applyNumberFormat="1" applyFont="1" applyFill="1" applyBorder="1" applyAlignment="1">
      <alignment horizontal="center" vertical="center" wrapText="1"/>
    </xf>
    <xf numFmtId="0" fontId="12" fillId="2" borderId="1" xfId="0" applyFont="1" applyFill="1" applyBorder="1" applyAlignment="1">
      <alignment horizontal="center" vertical="center" wrapText="1"/>
    </xf>
    <xf numFmtId="0" fontId="12" fillId="2" borderId="1" xfId="0" applyFont="1" applyFill="1" applyBorder="1" applyAlignment="1">
      <alignment horizontal="left" vertical="center" wrapText="1"/>
    </xf>
  </cellXfs>
  <cellStyles count="1">
    <cellStyle name="Normal" xfId="0" builtinId="0"/>
  </cellStyles>
  <dxfs count="2">
    <dxf>
      <font>
        <color rgb="FF9C0006"/>
        <name val="Arial"/>
      </font>
      <fill>
        <patternFill>
          <bgColor rgb="FFFFC7CE"/>
        </patternFill>
      </fill>
    </dxf>
    <dxf>
      <font>
        <color rgb="FF9C0006"/>
        <name val="Arial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39"/>
  <sheetViews>
    <sheetView showGridLines="0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53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404"/>
  <sheetViews>
    <sheetView showGridLines="0" tabSelected="1" zoomScaleNormal="100" workbookViewId="0">
      <pane xSplit="1" ySplit="5" topLeftCell="E30" activePane="bottomRight" state="frozen"/>
      <selection pane="topRight" activeCell="B1" sqref="B1"/>
      <selection pane="bottomLeft" activeCell="A6" sqref="A6"/>
      <selection pane="bottomRight" activeCell="F38" sqref="F38"/>
    </sheetView>
  </sheetViews>
  <sheetFormatPr defaultColWidth="8.6328125" defaultRowHeight="14.5" x14ac:dyDescent="0.3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5">
      <c r="A2" s="6" t="s">
        <v>30</v>
      </c>
      <c r="B2" s="20" t="s">
        <v>54</v>
      </c>
      <c r="C2" s="20"/>
      <c r="D2" s="20"/>
      <c r="E2" s="6" t="s">
        <v>31</v>
      </c>
      <c r="F2" s="20">
        <v>12625957</v>
      </c>
      <c r="G2" s="20"/>
    </row>
    <row r="3" spans="1:14" ht="19.5" customHeight="1" x14ac:dyDescent="0.35">
      <c r="A3" s="6" t="s">
        <v>32</v>
      </c>
      <c r="B3" s="20" t="s">
        <v>55</v>
      </c>
      <c r="C3" s="20"/>
      <c r="D3" s="20"/>
      <c r="E3" s="6" t="s">
        <v>33</v>
      </c>
      <c r="F3" s="20" t="s">
        <v>56</v>
      </c>
      <c r="G3" s="20"/>
    </row>
    <row r="4" spans="1:14" x14ac:dyDescent="0.3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5" x14ac:dyDescent="0.35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72" si="0">IF(SUM(B6:F6,H6)=0,"",SUM(B6:F6,H6))</f>
        <v>885</v>
      </c>
      <c r="J6" s="10">
        <f t="shared" ref="J6:J72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5">
      <c r="A7" s="13">
        <v>46247</v>
      </c>
      <c r="B7" s="9">
        <v>300</v>
      </c>
      <c r="C7" s="9">
        <v>50</v>
      </c>
      <c r="D7" s="9">
        <v>60</v>
      </c>
      <c r="E7" s="22">
        <v>30</v>
      </c>
      <c r="F7" s="22">
        <v>250</v>
      </c>
      <c r="G7" s="22">
        <v>5</v>
      </c>
      <c r="H7" s="22">
        <v>200</v>
      </c>
      <c r="I7" s="21">
        <f t="shared" si="0"/>
        <v>890</v>
      </c>
      <c r="J7" s="21">
        <f t="shared" si="1"/>
        <v>550</v>
      </c>
      <c r="K7" s="23" t="s">
        <v>49</v>
      </c>
      <c r="L7" s="23" t="s">
        <v>50</v>
      </c>
      <c r="M7" s="23" t="s">
        <v>51</v>
      </c>
      <c r="N7" s="24" t="s">
        <v>93</v>
      </c>
    </row>
    <row r="8" spans="1:14" x14ac:dyDescent="0.35">
      <c r="A8" s="13">
        <v>46248</v>
      </c>
      <c r="B8" s="9">
        <v>300</v>
      </c>
      <c r="C8" s="9">
        <v>90</v>
      </c>
      <c r="D8" s="9">
        <v>90</v>
      </c>
      <c r="E8" s="22">
        <v>50</v>
      </c>
      <c r="F8" s="22">
        <v>300</v>
      </c>
      <c r="G8" s="22">
        <v>6</v>
      </c>
      <c r="H8" s="22">
        <v>120</v>
      </c>
      <c r="I8" s="21">
        <f t="shared" si="0"/>
        <v>950</v>
      </c>
      <c r="J8" s="21">
        <f t="shared" si="1"/>
        <v>490</v>
      </c>
      <c r="K8" s="23" t="s">
        <v>49</v>
      </c>
      <c r="L8" s="23" t="s">
        <v>50</v>
      </c>
      <c r="M8" s="23" t="s">
        <v>67</v>
      </c>
      <c r="N8" s="24" t="s">
        <v>94</v>
      </c>
    </row>
    <row r="9" spans="1:14" x14ac:dyDescent="0.35">
      <c r="A9" s="13">
        <v>46249</v>
      </c>
      <c r="B9" s="9">
        <v>360</v>
      </c>
      <c r="C9" s="9">
        <v>120</v>
      </c>
      <c r="D9" s="9">
        <v>60</v>
      </c>
      <c r="E9" s="22">
        <v>90</v>
      </c>
      <c r="F9" s="22">
        <v>250</v>
      </c>
      <c r="G9" s="22">
        <v>5</v>
      </c>
      <c r="H9" s="22">
        <v>90</v>
      </c>
      <c r="I9" s="21">
        <f t="shared" si="0"/>
        <v>970</v>
      </c>
      <c r="J9" s="21">
        <f t="shared" si="1"/>
        <v>470</v>
      </c>
      <c r="K9" s="23" t="s">
        <v>59</v>
      </c>
      <c r="L9" s="23" t="s">
        <v>57</v>
      </c>
      <c r="M9" s="23" t="s">
        <v>51</v>
      </c>
      <c r="N9" s="24" t="s">
        <v>95</v>
      </c>
    </row>
    <row r="10" spans="1:14" x14ac:dyDescent="0.35">
      <c r="A10" s="13">
        <v>46250</v>
      </c>
      <c r="B10" s="14">
        <v>480</v>
      </c>
      <c r="C10" s="14">
        <v>120</v>
      </c>
      <c r="D10" s="14">
        <v>180</v>
      </c>
      <c r="E10" s="14">
        <v>180</v>
      </c>
      <c r="F10" s="14">
        <v>0</v>
      </c>
      <c r="G10" s="14">
        <v>0</v>
      </c>
      <c r="H10" s="14">
        <v>120</v>
      </c>
      <c r="I10" s="15">
        <f>IF(SUM(B10:F10,H10)=0,"",SUM(B10:F10,H10))</f>
        <v>1080</v>
      </c>
      <c r="J10" s="15">
        <f t="shared" si="1"/>
        <v>360</v>
      </c>
      <c r="K10" s="16" t="s">
        <v>49</v>
      </c>
      <c r="L10" s="16" t="s">
        <v>50</v>
      </c>
      <c r="M10" s="16" t="s">
        <v>57</v>
      </c>
      <c r="N10" s="17" t="s">
        <v>61</v>
      </c>
    </row>
    <row r="11" spans="1:14" x14ac:dyDescent="0.35">
      <c r="A11" s="13">
        <v>46251</v>
      </c>
      <c r="B11" s="14">
        <v>360</v>
      </c>
      <c r="C11" s="14">
        <v>120</v>
      </c>
      <c r="D11" s="14">
        <v>200</v>
      </c>
      <c r="E11" s="14">
        <v>200</v>
      </c>
      <c r="F11" s="14">
        <v>0</v>
      </c>
      <c r="G11" s="14">
        <v>0</v>
      </c>
      <c r="H11" s="14">
        <v>100</v>
      </c>
      <c r="I11" s="15">
        <f t="shared" si="0"/>
        <v>980</v>
      </c>
      <c r="J11" s="15">
        <f t="shared" si="1"/>
        <v>460</v>
      </c>
      <c r="K11" s="16" t="s">
        <v>58</v>
      </c>
      <c r="L11" s="16" t="s">
        <v>50</v>
      </c>
      <c r="M11" s="16" t="s">
        <v>51</v>
      </c>
      <c r="N11" s="17" t="s">
        <v>62</v>
      </c>
    </row>
    <row r="12" spans="1:14" x14ac:dyDescent="0.35">
      <c r="A12" s="13">
        <v>46252</v>
      </c>
      <c r="B12" s="14">
        <v>300</v>
      </c>
      <c r="C12" s="14">
        <v>120</v>
      </c>
      <c r="D12" s="14">
        <v>240</v>
      </c>
      <c r="E12" s="14">
        <v>120</v>
      </c>
      <c r="F12" s="14">
        <v>300</v>
      </c>
      <c r="G12" s="14">
        <v>6</v>
      </c>
      <c r="H12" s="14">
        <v>120</v>
      </c>
      <c r="I12" s="15">
        <f t="shared" si="0"/>
        <v>1200</v>
      </c>
      <c r="J12" s="15">
        <f t="shared" si="1"/>
        <v>240</v>
      </c>
      <c r="K12" s="16" t="s">
        <v>49</v>
      </c>
      <c r="L12" s="16" t="s">
        <v>50</v>
      </c>
      <c r="M12" s="16" t="s">
        <v>57</v>
      </c>
      <c r="N12" s="17" t="s">
        <v>61</v>
      </c>
    </row>
    <row r="13" spans="1:14" x14ac:dyDescent="0.35">
      <c r="A13" s="13">
        <v>46253</v>
      </c>
      <c r="B13" s="14">
        <v>300</v>
      </c>
      <c r="C13" s="14">
        <v>70</v>
      </c>
      <c r="D13" s="14">
        <v>120</v>
      </c>
      <c r="E13" s="14">
        <v>120</v>
      </c>
      <c r="F13" s="14">
        <v>350</v>
      </c>
      <c r="G13" s="14">
        <v>7</v>
      </c>
      <c r="H13" s="14">
        <v>120</v>
      </c>
      <c r="I13" s="15">
        <f t="shared" si="0"/>
        <v>1080</v>
      </c>
      <c r="J13" s="15">
        <f t="shared" si="1"/>
        <v>360</v>
      </c>
      <c r="K13" s="16" t="s">
        <v>49</v>
      </c>
      <c r="L13" s="16" t="s">
        <v>63</v>
      </c>
      <c r="M13" s="16" t="s">
        <v>51</v>
      </c>
      <c r="N13" s="17" t="s">
        <v>62</v>
      </c>
    </row>
    <row r="14" spans="1:14" x14ac:dyDescent="0.35">
      <c r="A14" s="13">
        <v>46254</v>
      </c>
      <c r="B14" s="14">
        <v>360</v>
      </c>
      <c r="C14" s="14">
        <v>120</v>
      </c>
      <c r="D14" s="14">
        <v>120</v>
      </c>
      <c r="E14" s="14">
        <v>120</v>
      </c>
      <c r="F14" s="14">
        <v>300</v>
      </c>
      <c r="G14" s="14">
        <v>6</v>
      </c>
      <c r="H14" s="14">
        <v>180</v>
      </c>
      <c r="I14" s="15">
        <f t="shared" si="0"/>
        <v>1200</v>
      </c>
      <c r="J14" s="15">
        <f t="shared" si="1"/>
        <v>240</v>
      </c>
      <c r="K14" s="16" t="s">
        <v>59</v>
      </c>
      <c r="L14" s="16" t="s">
        <v>60</v>
      </c>
      <c r="M14" s="16" t="s">
        <v>51</v>
      </c>
      <c r="N14" s="17" t="s">
        <v>64</v>
      </c>
    </row>
    <row r="15" spans="1:14" x14ac:dyDescent="0.35">
      <c r="A15" s="13">
        <v>46255</v>
      </c>
      <c r="B15" s="14">
        <v>300</v>
      </c>
      <c r="C15" s="14">
        <v>90</v>
      </c>
      <c r="D15" s="14">
        <v>180</v>
      </c>
      <c r="E15" s="14">
        <v>90</v>
      </c>
      <c r="F15" s="14">
        <v>300</v>
      </c>
      <c r="G15" s="14">
        <v>6</v>
      </c>
      <c r="H15" s="14">
        <v>180</v>
      </c>
      <c r="I15" s="15">
        <f t="shared" si="0"/>
        <v>1140</v>
      </c>
      <c r="J15" s="15">
        <f t="shared" si="1"/>
        <v>300</v>
      </c>
      <c r="K15" s="16" t="s">
        <v>49</v>
      </c>
      <c r="L15" s="16" t="s">
        <v>50</v>
      </c>
      <c r="M15" s="16" t="s">
        <v>51</v>
      </c>
      <c r="N15" s="17" t="s">
        <v>62</v>
      </c>
    </row>
    <row r="16" spans="1:14" x14ac:dyDescent="0.35">
      <c r="A16" s="13">
        <v>46256</v>
      </c>
      <c r="B16" s="14">
        <v>420</v>
      </c>
      <c r="C16" s="14">
        <v>60</v>
      </c>
      <c r="D16" s="14">
        <v>240</v>
      </c>
      <c r="E16" s="14">
        <v>120</v>
      </c>
      <c r="F16" s="14">
        <v>0</v>
      </c>
      <c r="G16" s="14">
        <v>0</v>
      </c>
      <c r="H16" s="14">
        <v>300</v>
      </c>
      <c r="I16" s="15">
        <f t="shared" si="0"/>
        <v>1140</v>
      </c>
      <c r="J16" s="15">
        <f t="shared" si="1"/>
        <v>300</v>
      </c>
      <c r="K16" s="16" t="s">
        <v>49</v>
      </c>
      <c r="L16" s="16" t="s">
        <v>50</v>
      </c>
      <c r="M16" s="16" t="s">
        <v>51</v>
      </c>
      <c r="N16" s="17" t="s">
        <v>61</v>
      </c>
    </row>
    <row r="17" spans="1:14" x14ac:dyDescent="0.35">
      <c r="A17" s="13">
        <v>46257</v>
      </c>
      <c r="B17" s="14">
        <v>420</v>
      </c>
      <c r="C17" s="14">
        <v>60</v>
      </c>
      <c r="D17" s="14">
        <v>150</v>
      </c>
      <c r="E17" s="14">
        <v>150</v>
      </c>
      <c r="F17" s="14">
        <v>0</v>
      </c>
      <c r="G17" s="14">
        <v>0</v>
      </c>
      <c r="H17" s="14">
        <v>180</v>
      </c>
      <c r="I17" s="15">
        <f t="shared" si="0"/>
        <v>960</v>
      </c>
      <c r="J17" s="15">
        <f t="shared" si="1"/>
        <v>480</v>
      </c>
      <c r="K17" s="16" t="s">
        <v>58</v>
      </c>
      <c r="L17" s="16" t="s">
        <v>50</v>
      </c>
      <c r="M17" s="16" t="s">
        <v>67</v>
      </c>
      <c r="N17" s="17" t="s">
        <v>62</v>
      </c>
    </row>
    <row r="18" spans="1:14" x14ac:dyDescent="0.35">
      <c r="A18" s="13">
        <v>46258</v>
      </c>
      <c r="B18" s="14">
        <v>420</v>
      </c>
      <c r="C18" s="14">
        <v>60</v>
      </c>
      <c r="D18" s="14">
        <v>120</v>
      </c>
      <c r="E18" s="14">
        <v>120</v>
      </c>
      <c r="F18" s="14">
        <v>200</v>
      </c>
      <c r="G18" s="14">
        <v>4</v>
      </c>
      <c r="H18" s="14">
        <v>180</v>
      </c>
      <c r="I18" s="15">
        <f t="shared" si="0"/>
        <v>1100</v>
      </c>
      <c r="J18" s="15">
        <f t="shared" si="1"/>
        <v>340</v>
      </c>
      <c r="K18" s="16" t="s">
        <v>49</v>
      </c>
      <c r="L18" s="16" t="s">
        <v>63</v>
      </c>
      <c r="M18" s="16" t="s">
        <v>65</v>
      </c>
      <c r="N18" s="17" t="s">
        <v>66</v>
      </c>
    </row>
    <row r="19" spans="1:14" x14ac:dyDescent="0.35">
      <c r="A19" s="13">
        <v>46259</v>
      </c>
      <c r="B19" s="14">
        <v>300</v>
      </c>
      <c r="C19" s="14">
        <v>90</v>
      </c>
      <c r="D19" s="14">
        <v>120</v>
      </c>
      <c r="E19" s="14">
        <v>120</v>
      </c>
      <c r="F19" s="14">
        <v>250</v>
      </c>
      <c r="G19" s="14">
        <v>5</v>
      </c>
      <c r="H19" s="14">
        <v>200</v>
      </c>
      <c r="I19" s="15">
        <f t="shared" si="0"/>
        <v>1080</v>
      </c>
      <c r="J19" s="15">
        <f t="shared" si="1"/>
        <v>360</v>
      </c>
      <c r="K19" s="16" t="s">
        <v>59</v>
      </c>
      <c r="L19" s="16" t="s">
        <v>57</v>
      </c>
      <c r="M19" s="16" t="s">
        <v>51</v>
      </c>
      <c r="N19" s="17" t="s">
        <v>68</v>
      </c>
    </row>
    <row r="20" spans="1:14" x14ac:dyDescent="0.35">
      <c r="A20" s="13">
        <v>46260</v>
      </c>
      <c r="B20" s="14">
        <v>360</v>
      </c>
      <c r="C20" s="14">
        <v>90</v>
      </c>
      <c r="D20" s="14">
        <v>120</v>
      </c>
      <c r="E20" s="14">
        <v>120</v>
      </c>
      <c r="F20" s="14">
        <v>250</v>
      </c>
      <c r="G20" s="14">
        <v>5</v>
      </c>
      <c r="H20" s="14">
        <v>180</v>
      </c>
      <c r="I20" s="15">
        <f t="shared" si="0"/>
        <v>1120</v>
      </c>
      <c r="J20" s="15">
        <f t="shared" si="1"/>
        <v>320</v>
      </c>
      <c r="K20" s="16" t="s">
        <v>69</v>
      </c>
      <c r="L20" s="16" t="s">
        <v>50</v>
      </c>
      <c r="M20" s="16" t="s">
        <v>67</v>
      </c>
      <c r="N20" s="17" t="s">
        <v>70</v>
      </c>
    </row>
    <row r="21" spans="1:14" x14ac:dyDescent="0.35">
      <c r="A21" s="13">
        <v>46261</v>
      </c>
      <c r="B21" s="14">
        <v>360</v>
      </c>
      <c r="C21" s="14">
        <v>90</v>
      </c>
      <c r="D21" s="14">
        <v>60</v>
      </c>
      <c r="E21" s="14">
        <v>60</v>
      </c>
      <c r="F21" s="14">
        <v>300</v>
      </c>
      <c r="G21" s="14">
        <v>6</v>
      </c>
      <c r="H21" s="14">
        <v>300</v>
      </c>
      <c r="I21" s="15">
        <f t="shared" si="0"/>
        <v>1170</v>
      </c>
      <c r="J21" s="15">
        <f t="shared" si="1"/>
        <v>270</v>
      </c>
      <c r="K21" s="16" t="s">
        <v>59</v>
      </c>
      <c r="L21" s="16" t="s">
        <v>65</v>
      </c>
      <c r="M21" s="16" t="s">
        <v>71</v>
      </c>
      <c r="N21" s="17" t="s">
        <v>72</v>
      </c>
    </row>
    <row r="22" spans="1:14" x14ac:dyDescent="0.35">
      <c r="A22" s="13">
        <v>46262</v>
      </c>
      <c r="B22" s="14">
        <v>360</v>
      </c>
      <c r="C22" s="14">
        <v>60</v>
      </c>
      <c r="D22" s="14">
        <v>120</v>
      </c>
      <c r="E22" s="14">
        <v>120</v>
      </c>
      <c r="F22" s="14">
        <v>200</v>
      </c>
      <c r="G22" s="14">
        <v>4</v>
      </c>
      <c r="H22" s="14">
        <v>360</v>
      </c>
      <c r="I22" s="15">
        <f t="shared" si="0"/>
        <v>1220</v>
      </c>
      <c r="J22" s="15">
        <f t="shared" si="1"/>
        <v>220</v>
      </c>
      <c r="K22" s="16" t="s">
        <v>49</v>
      </c>
      <c r="L22" s="16" t="s">
        <v>50</v>
      </c>
      <c r="M22" s="16" t="s">
        <v>51</v>
      </c>
      <c r="N22" s="17" t="s">
        <v>62</v>
      </c>
    </row>
    <row r="23" spans="1:14" x14ac:dyDescent="0.35">
      <c r="A23" s="13">
        <v>46263</v>
      </c>
      <c r="B23" s="14">
        <v>420</v>
      </c>
      <c r="C23" s="14">
        <v>60</v>
      </c>
      <c r="D23" s="14">
        <v>180</v>
      </c>
      <c r="E23" s="14">
        <v>240</v>
      </c>
      <c r="F23" s="14">
        <v>0</v>
      </c>
      <c r="G23" s="14">
        <v>0</v>
      </c>
      <c r="H23" s="14">
        <v>120</v>
      </c>
      <c r="I23" s="15">
        <f t="shared" si="0"/>
        <v>1020</v>
      </c>
      <c r="J23" s="15">
        <f t="shared" si="1"/>
        <v>420</v>
      </c>
      <c r="K23" s="16" t="s">
        <v>49</v>
      </c>
      <c r="L23" s="16" t="s">
        <v>50</v>
      </c>
      <c r="M23" s="16" t="s">
        <v>51</v>
      </c>
      <c r="N23" s="17" t="s">
        <v>62</v>
      </c>
    </row>
    <row r="24" spans="1:14" x14ac:dyDescent="0.35">
      <c r="A24" s="13">
        <v>46264</v>
      </c>
      <c r="B24" s="14">
        <v>360</v>
      </c>
      <c r="C24" s="14">
        <v>90</v>
      </c>
      <c r="D24" s="14">
        <v>180</v>
      </c>
      <c r="E24" s="14">
        <v>200</v>
      </c>
      <c r="F24" s="14">
        <v>0</v>
      </c>
      <c r="G24" s="14">
        <v>0</v>
      </c>
      <c r="H24" s="14">
        <v>240</v>
      </c>
      <c r="I24" s="15">
        <f t="shared" si="0"/>
        <v>1070</v>
      </c>
      <c r="J24" s="15">
        <f t="shared" si="1"/>
        <v>370</v>
      </c>
      <c r="K24" s="16" t="s">
        <v>73</v>
      </c>
      <c r="L24" s="16" t="s">
        <v>65</v>
      </c>
      <c r="M24" s="16" t="s">
        <v>71</v>
      </c>
      <c r="N24" s="17" t="s">
        <v>74</v>
      </c>
    </row>
    <row r="25" spans="1:14" x14ac:dyDescent="0.35">
      <c r="A25" s="13">
        <v>46265</v>
      </c>
      <c r="B25" s="14">
        <v>360</v>
      </c>
      <c r="C25" s="14">
        <v>120</v>
      </c>
      <c r="D25" s="14">
        <v>200</v>
      </c>
      <c r="E25" s="14">
        <v>120</v>
      </c>
      <c r="F25" s="14">
        <v>300</v>
      </c>
      <c r="G25" s="14">
        <v>6</v>
      </c>
      <c r="H25" s="14">
        <v>300</v>
      </c>
      <c r="I25" s="15">
        <f t="shared" si="0"/>
        <v>1400</v>
      </c>
      <c r="J25" s="15">
        <f t="shared" si="1"/>
        <v>40</v>
      </c>
      <c r="K25" s="16" t="s">
        <v>49</v>
      </c>
      <c r="L25" s="16" t="s">
        <v>50</v>
      </c>
      <c r="M25" s="16" t="s">
        <v>67</v>
      </c>
      <c r="N25" s="17" t="s">
        <v>62</v>
      </c>
    </row>
    <row r="26" spans="1:14" x14ac:dyDescent="0.35">
      <c r="A26" s="13">
        <v>46266</v>
      </c>
      <c r="B26" s="14">
        <v>360</v>
      </c>
      <c r="C26" s="14">
        <v>90</v>
      </c>
      <c r="D26" s="14">
        <v>250</v>
      </c>
      <c r="E26" s="14">
        <v>240</v>
      </c>
      <c r="F26" s="14">
        <v>350</v>
      </c>
      <c r="G26" s="14">
        <v>7</v>
      </c>
      <c r="H26" s="14">
        <v>120</v>
      </c>
      <c r="I26" s="15">
        <f t="shared" si="0"/>
        <v>1410</v>
      </c>
      <c r="J26" s="15">
        <f t="shared" si="1"/>
        <v>30</v>
      </c>
      <c r="K26" s="16" t="s">
        <v>49</v>
      </c>
      <c r="L26" s="16" t="s">
        <v>50</v>
      </c>
      <c r="M26" s="16" t="s">
        <v>67</v>
      </c>
      <c r="N26" s="17" t="s">
        <v>62</v>
      </c>
    </row>
    <row r="27" spans="1:14" x14ac:dyDescent="0.35">
      <c r="A27" s="13">
        <v>46267</v>
      </c>
      <c r="B27" s="14">
        <v>400</v>
      </c>
      <c r="C27" s="14">
        <v>120</v>
      </c>
      <c r="D27" s="14">
        <v>240</v>
      </c>
      <c r="E27" s="14">
        <v>0</v>
      </c>
      <c r="F27" s="14">
        <v>300</v>
      </c>
      <c r="G27" s="14">
        <v>6</v>
      </c>
      <c r="H27" s="14">
        <v>60</v>
      </c>
      <c r="I27" s="15">
        <f t="shared" si="0"/>
        <v>1120</v>
      </c>
      <c r="J27" s="15">
        <f t="shared" si="1"/>
        <v>320</v>
      </c>
      <c r="K27" s="16" t="s">
        <v>59</v>
      </c>
      <c r="L27" s="16" t="s">
        <v>57</v>
      </c>
      <c r="M27" s="16" t="s">
        <v>51</v>
      </c>
      <c r="N27" s="17" t="s">
        <v>75</v>
      </c>
    </row>
    <row r="28" spans="1:14" x14ac:dyDescent="0.35">
      <c r="A28" s="13">
        <v>46268</v>
      </c>
      <c r="B28" s="14">
        <v>370</v>
      </c>
      <c r="C28" s="14">
        <v>120</v>
      </c>
      <c r="D28" s="14">
        <v>90</v>
      </c>
      <c r="E28" s="14">
        <v>120</v>
      </c>
      <c r="F28" s="14">
        <v>250</v>
      </c>
      <c r="G28" s="14">
        <v>5</v>
      </c>
      <c r="H28" s="14">
        <v>90</v>
      </c>
      <c r="I28" s="15">
        <f t="shared" si="0"/>
        <v>1040</v>
      </c>
      <c r="J28" s="15">
        <f t="shared" si="1"/>
        <v>400</v>
      </c>
      <c r="K28" s="16" t="s">
        <v>49</v>
      </c>
      <c r="L28" s="16" t="s">
        <v>50</v>
      </c>
      <c r="M28" s="16" t="s">
        <v>51</v>
      </c>
      <c r="N28" s="17" t="s">
        <v>62</v>
      </c>
    </row>
    <row r="29" spans="1:14" x14ac:dyDescent="0.35">
      <c r="A29" s="13">
        <v>46269</v>
      </c>
      <c r="B29" s="14">
        <v>360</v>
      </c>
      <c r="C29" s="14">
        <v>90</v>
      </c>
      <c r="D29" s="14">
        <v>120</v>
      </c>
      <c r="E29" s="14">
        <v>120</v>
      </c>
      <c r="F29" s="14">
        <v>350</v>
      </c>
      <c r="G29" s="14">
        <v>7</v>
      </c>
      <c r="H29" s="14">
        <v>90</v>
      </c>
      <c r="I29" s="15">
        <f t="shared" si="0"/>
        <v>1130</v>
      </c>
      <c r="J29" s="15">
        <f t="shared" si="1"/>
        <v>310</v>
      </c>
      <c r="K29" s="16" t="s">
        <v>49</v>
      </c>
      <c r="L29" s="16" t="s">
        <v>79</v>
      </c>
      <c r="M29" s="16" t="s">
        <v>67</v>
      </c>
      <c r="N29" s="17" t="s">
        <v>62</v>
      </c>
    </row>
    <row r="30" spans="1:14" x14ac:dyDescent="0.35">
      <c r="A30" s="13">
        <v>46270</v>
      </c>
      <c r="B30" s="14">
        <v>420</v>
      </c>
      <c r="C30" s="14">
        <v>120</v>
      </c>
      <c r="D30" s="14">
        <v>240</v>
      </c>
      <c r="E30" s="14">
        <v>280</v>
      </c>
      <c r="F30" s="14">
        <v>50</v>
      </c>
      <c r="G30" s="14">
        <v>1</v>
      </c>
      <c r="H30" s="14">
        <v>120</v>
      </c>
      <c r="I30" s="15">
        <f t="shared" si="0"/>
        <v>1230</v>
      </c>
      <c r="J30" s="15">
        <f t="shared" si="1"/>
        <v>210</v>
      </c>
      <c r="K30" s="16" t="s">
        <v>58</v>
      </c>
      <c r="L30" s="16" t="s">
        <v>50</v>
      </c>
      <c r="M30" s="16" t="s">
        <v>67</v>
      </c>
      <c r="N30" s="17" t="s">
        <v>62</v>
      </c>
    </row>
    <row r="31" spans="1:14" x14ac:dyDescent="0.35">
      <c r="A31" s="13">
        <v>46271</v>
      </c>
      <c r="B31" s="14">
        <v>420</v>
      </c>
      <c r="C31" s="14">
        <v>120</v>
      </c>
      <c r="D31" s="14">
        <v>300</v>
      </c>
      <c r="E31" s="14">
        <v>240</v>
      </c>
      <c r="F31" s="14">
        <v>0</v>
      </c>
      <c r="G31" s="14">
        <v>0</v>
      </c>
      <c r="H31" s="14">
        <v>120</v>
      </c>
      <c r="I31" s="15">
        <f t="shared" si="0"/>
        <v>1200</v>
      </c>
      <c r="J31" s="15">
        <f t="shared" si="1"/>
        <v>240</v>
      </c>
      <c r="K31" s="16" t="s">
        <v>58</v>
      </c>
      <c r="L31" s="16" t="s">
        <v>50</v>
      </c>
      <c r="M31" s="16" t="s">
        <v>67</v>
      </c>
      <c r="N31" s="17" t="s">
        <v>76</v>
      </c>
    </row>
    <row r="32" spans="1:14" x14ac:dyDescent="0.35">
      <c r="A32" s="13">
        <v>46272</v>
      </c>
      <c r="B32" s="14">
        <v>300</v>
      </c>
      <c r="C32" s="14">
        <v>90</v>
      </c>
      <c r="D32" s="14">
        <v>120</v>
      </c>
      <c r="E32" s="14">
        <v>120</v>
      </c>
      <c r="F32" s="14">
        <v>300</v>
      </c>
      <c r="G32" s="14">
        <v>6</v>
      </c>
      <c r="H32" s="14">
        <v>90</v>
      </c>
      <c r="I32" s="15">
        <f t="shared" si="0"/>
        <v>1020</v>
      </c>
      <c r="J32" s="15">
        <f t="shared" si="1"/>
        <v>420</v>
      </c>
      <c r="K32" s="16" t="s">
        <v>49</v>
      </c>
      <c r="L32" s="16" t="s">
        <v>50</v>
      </c>
      <c r="M32" s="16" t="s">
        <v>71</v>
      </c>
      <c r="N32" s="17" t="s">
        <v>77</v>
      </c>
    </row>
    <row r="33" spans="1:14" ht="29" x14ac:dyDescent="0.35">
      <c r="A33" s="13">
        <v>46273</v>
      </c>
      <c r="B33" s="14">
        <v>300</v>
      </c>
      <c r="C33" s="14">
        <v>100</v>
      </c>
      <c r="D33" s="14">
        <v>240</v>
      </c>
      <c r="E33" s="14">
        <v>120</v>
      </c>
      <c r="F33" s="14">
        <v>250</v>
      </c>
      <c r="G33" s="14">
        <v>5</v>
      </c>
      <c r="H33" s="14">
        <v>100</v>
      </c>
      <c r="I33" s="15">
        <f t="shared" si="0"/>
        <v>1110</v>
      </c>
      <c r="J33" s="15">
        <f t="shared" si="1"/>
        <v>330</v>
      </c>
      <c r="K33" s="16" t="s">
        <v>49</v>
      </c>
      <c r="L33" s="16" t="s">
        <v>79</v>
      </c>
      <c r="M33" s="16" t="s">
        <v>51</v>
      </c>
      <c r="N33" s="17" t="s">
        <v>81</v>
      </c>
    </row>
    <row r="34" spans="1:14" ht="29" x14ac:dyDescent="0.35">
      <c r="A34" s="13">
        <v>46274</v>
      </c>
      <c r="B34" s="14">
        <v>300</v>
      </c>
      <c r="C34" s="14">
        <v>90</v>
      </c>
      <c r="D34" s="14">
        <v>200</v>
      </c>
      <c r="E34" s="14">
        <v>120</v>
      </c>
      <c r="F34" s="14">
        <v>250</v>
      </c>
      <c r="G34" s="14">
        <v>5</v>
      </c>
      <c r="H34" s="14">
        <v>90</v>
      </c>
      <c r="I34" s="15">
        <f t="shared" si="0"/>
        <v>1050</v>
      </c>
      <c r="J34" s="15">
        <f t="shared" si="1"/>
        <v>390</v>
      </c>
      <c r="K34" s="16" t="s">
        <v>78</v>
      </c>
      <c r="L34" s="16" t="s">
        <v>50</v>
      </c>
      <c r="M34" s="16" t="s">
        <v>80</v>
      </c>
      <c r="N34" s="17" t="s">
        <v>82</v>
      </c>
    </row>
    <row r="35" spans="1:14" ht="29" x14ac:dyDescent="0.35">
      <c r="A35" s="13">
        <v>46275</v>
      </c>
      <c r="B35" s="14">
        <v>300</v>
      </c>
      <c r="C35" s="14">
        <v>200</v>
      </c>
      <c r="D35" s="14">
        <v>60</v>
      </c>
      <c r="E35" s="14">
        <v>60</v>
      </c>
      <c r="F35" s="14">
        <v>50</v>
      </c>
      <c r="G35" s="14">
        <v>1</v>
      </c>
      <c r="H35" s="14">
        <v>300</v>
      </c>
      <c r="I35" s="15">
        <f t="shared" si="0"/>
        <v>970</v>
      </c>
      <c r="J35" s="15">
        <f t="shared" si="1"/>
        <v>470</v>
      </c>
      <c r="K35" s="16" t="s">
        <v>83</v>
      </c>
      <c r="L35" s="16" t="s">
        <v>50</v>
      </c>
      <c r="M35" s="16" t="s">
        <v>67</v>
      </c>
      <c r="N35" s="17" t="s">
        <v>84</v>
      </c>
    </row>
    <row r="36" spans="1:14" x14ac:dyDescent="0.35">
      <c r="A36" s="13">
        <v>46276</v>
      </c>
      <c r="B36" s="14">
        <v>320</v>
      </c>
      <c r="C36" s="14">
        <v>240</v>
      </c>
      <c r="D36" s="14">
        <v>90</v>
      </c>
      <c r="E36" s="14">
        <v>120</v>
      </c>
      <c r="F36" s="14">
        <v>350</v>
      </c>
      <c r="G36" s="14">
        <v>7</v>
      </c>
      <c r="H36" s="14">
        <v>90</v>
      </c>
      <c r="I36" s="15">
        <f>IF(SUM(B36:F36,H36)=0,"",SUM(B36:F36,H36))</f>
        <v>1210</v>
      </c>
      <c r="K36" s="16" t="s">
        <v>62</v>
      </c>
      <c r="L36" s="16" t="s">
        <v>50</v>
      </c>
      <c r="M36" s="16" t="s">
        <v>51</v>
      </c>
      <c r="N36" s="17" t="s">
        <v>86</v>
      </c>
    </row>
    <row r="37" spans="1:14" x14ac:dyDescent="0.35">
      <c r="A37" s="13">
        <v>46277</v>
      </c>
      <c r="B37" s="14">
        <v>300</v>
      </c>
      <c r="C37" s="14">
        <v>90</v>
      </c>
      <c r="D37" s="14">
        <v>120</v>
      </c>
      <c r="E37" s="14">
        <v>60</v>
      </c>
      <c r="F37" s="14">
        <v>0</v>
      </c>
      <c r="G37" s="14">
        <v>0</v>
      </c>
      <c r="H37" s="14">
        <v>360</v>
      </c>
      <c r="I37" s="15">
        <f t="shared" si="0"/>
        <v>930</v>
      </c>
      <c r="J37" s="15">
        <f t="shared" si="1"/>
        <v>510</v>
      </c>
      <c r="K37" s="16" t="s">
        <v>85</v>
      </c>
      <c r="L37" s="16" t="s">
        <v>79</v>
      </c>
      <c r="M37" s="16" t="s">
        <v>51</v>
      </c>
      <c r="N37" s="17" t="s">
        <v>87</v>
      </c>
    </row>
    <row r="38" spans="1:14" x14ac:dyDescent="0.35">
      <c r="A38" s="13">
        <v>46278</v>
      </c>
      <c r="B38" s="14">
        <v>300</v>
      </c>
      <c r="C38" s="14">
        <v>120</v>
      </c>
      <c r="D38" s="14">
        <v>120</v>
      </c>
      <c r="E38" s="14">
        <v>120</v>
      </c>
      <c r="F38" s="14">
        <v>0</v>
      </c>
      <c r="G38" s="14">
        <v>0</v>
      </c>
      <c r="H38" s="14">
        <v>360</v>
      </c>
      <c r="I38" s="15">
        <f t="shared" si="0"/>
        <v>1020</v>
      </c>
      <c r="J38" s="15">
        <f t="shared" si="1"/>
        <v>420</v>
      </c>
      <c r="K38" s="16" t="s">
        <v>49</v>
      </c>
      <c r="L38" s="16" t="s">
        <v>50</v>
      </c>
      <c r="M38" s="16" t="s">
        <v>67</v>
      </c>
      <c r="N38" s="17" t="s">
        <v>88</v>
      </c>
    </row>
    <row r="39" spans="1:14" x14ac:dyDescent="0.35">
      <c r="A39" s="13">
        <v>46279</v>
      </c>
      <c r="B39" s="14">
        <v>300</v>
      </c>
      <c r="C39" s="14">
        <v>60</v>
      </c>
      <c r="D39" s="14">
        <v>60</v>
      </c>
      <c r="E39" s="14">
        <v>60</v>
      </c>
      <c r="F39" s="14">
        <v>200</v>
      </c>
      <c r="G39" s="14">
        <v>4</v>
      </c>
      <c r="H39" s="14">
        <v>120</v>
      </c>
      <c r="I39" s="15">
        <f t="shared" si="0"/>
        <v>800</v>
      </c>
      <c r="J39" s="15">
        <f t="shared" si="1"/>
        <v>640</v>
      </c>
      <c r="K39" s="16" t="s">
        <v>49</v>
      </c>
      <c r="L39" s="16" t="s">
        <v>50</v>
      </c>
      <c r="M39" s="16" t="s">
        <v>80</v>
      </c>
      <c r="N39" s="17" t="s">
        <v>89</v>
      </c>
    </row>
    <row r="40" spans="1:14" x14ac:dyDescent="0.35">
      <c r="A40" s="13">
        <v>46280</v>
      </c>
      <c r="B40" s="14">
        <v>360</v>
      </c>
      <c r="C40" s="14">
        <v>90</v>
      </c>
      <c r="D40" s="14">
        <v>180</v>
      </c>
      <c r="E40" s="14">
        <v>120</v>
      </c>
      <c r="F40" s="14">
        <v>250</v>
      </c>
      <c r="G40" s="14">
        <v>5</v>
      </c>
      <c r="H40" s="14">
        <v>90</v>
      </c>
      <c r="I40" s="15">
        <f t="shared" si="0"/>
        <v>1090</v>
      </c>
      <c r="J40" s="15">
        <f t="shared" si="1"/>
        <v>350</v>
      </c>
      <c r="K40" s="16" t="s">
        <v>49</v>
      </c>
      <c r="L40" s="16" t="s">
        <v>50</v>
      </c>
      <c r="M40" s="16" t="s">
        <v>67</v>
      </c>
      <c r="N40" s="17" t="s">
        <v>90</v>
      </c>
    </row>
    <row r="41" spans="1:14" x14ac:dyDescent="0.35">
      <c r="A41" s="13">
        <v>46281</v>
      </c>
      <c r="B41" s="14">
        <v>360</v>
      </c>
      <c r="C41" s="14">
        <v>120</v>
      </c>
      <c r="D41" s="14">
        <v>120</v>
      </c>
      <c r="E41" s="14">
        <v>50</v>
      </c>
      <c r="F41" s="14">
        <v>250</v>
      </c>
      <c r="G41" s="14">
        <v>5</v>
      </c>
      <c r="H41" s="14">
        <v>180</v>
      </c>
      <c r="I41" s="15">
        <f t="shared" si="0"/>
        <v>1080</v>
      </c>
      <c r="J41" s="15">
        <f t="shared" si="1"/>
        <v>360</v>
      </c>
      <c r="K41" s="16" t="s">
        <v>49</v>
      </c>
      <c r="L41" s="16" t="s">
        <v>79</v>
      </c>
      <c r="M41" s="16" t="s">
        <v>51</v>
      </c>
      <c r="N41" s="17" t="s">
        <v>91</v>
      </c>
    </row>
    <row r="42" spans="1:14" x14ac:dyDescent="0.35">
      <c r="A42" s="13">
        <v>46282</v>
      </c>
      <c r="B42" s="14">
        <v>300</v>
      </c>
      <c r="C42" s="14">
        <v>90</v>
      </c>
      <c r="D42" s="14">
        <v>90</v>
      </c>
      <c r="E42" s="14">
        <v>50</v>
      </c>
      <c r="F42" s="14">
        <v>300</v>
      </c>
      <c r="G42" s="14">
        <v>6</v>
      </c>
      <c r="H42" s="14">
        <v>120</v>
      </c>
      <c r="I42" s="15">
        <f t="shared" si="0"/>
        <v>950</v>
      </c>
      <c r="J42" s="15">
        <f t="shared" si="1"/>
        <v>490</v>
      </c>
      <c r="K42" s="16" t="s">
        <v>58</v>
      </c>
      <c r="L42" s="16" t="s">
        <v>50</v>
      </c>
      <c r="M42" s="16" t="s">
        <v>67</v>
      </c>
      <c r="N42" s="17" t="s">
        <v>92</v>
      </c>
    </row>
    <row r="43" spans="1:14" x14ac:dyDescent="0.35">
      <c r="A43" s="13">
        <v>46283</v>
      </c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5">
      <c r="A44" s="13">
        <v>46284</v>
      </c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5">
      <c r="A45" s="13">
        <v>46285</v>
      </c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5">
      <c r="A46" s="13">
        <v>46286</v>
      </c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5">
      <c r="A47" s="13">
        <v>46287</v>
      </c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5">
      <c r="A48" s="13">
        <v>46288</v>
      </c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5">
      <c r="A70" s="13"/>
      <c r="B70" s="14"/>
      <c r="C70" s="14"/>
      <c r="D70" s="14"/>
      <c r="E70" s="14"/>
      <c r="F70" s="14"/>
      <c r="G70" s="14"/>
      <c r="H70" s="14"/>
      <c r="I70" s="15" t="str">
        <f t="shared" si="0"/>
        <v/>
      </c>
      <c r="J70" s="15" t="str">
        <f t="shared" si="1"/>
        <v/>
      </c>
      <c r="K70" s="16"/>
      <c r="L70" s="16"/>
      <c r="M70" s="16"/>
      <c r="N70" s="17"/>
    </row>
    <row r="71" spans="1:14" x14ac:dyDescent="0.35">
      <c r="A71" s="13"/>
      <c r="B71" s="14"/>
      <c r="C71" s="14"/>
      <c r="D71" s="14"/>
      <c r="E71" s="14"/>
      <c r="F71" s="14"/>
      <c r="G71" s="14"/>
      <c r="H71" s="14"/>
      <c r="I71" s="15" t="str">
        <f t="shared" si="0"/>
        <v/>
      </c>
      <c r="J71" s="15" t="str">
        <f t="shared" si="1"/>
        <v/>
      </c>
      <c r="K71" s="16"/>
      <c r="L71" s="16"/>
      <c r="M71" s="16"/>
      <c r="N71" s="17"/>
    </row>
    <row r="72" spans="1:14" x14ac:dyDescent="0.35">
      <c r="A72" s="13"/>
      <c r="B72" s="14"/>
      <c r="C72" s="14"/>
      <c r="D72" s="14"/>
      <c r="E72" s="14"/>
      <c r="F72" s="14"/>
      <c r="G72" s="14"/>
      <c r="H72" s="14"/>
      <c r="I72" s="15" t="str">
        <f t="shared" si="0"/>
        <v/>
      </c>
      <c r="J72" s="15" t="str">
        <f t="shared" si="1"/>
        <v/>
      </c>
      <c r="K72" s="16"/>
      <c r="L72" s="16"/>
      <c r="M72" s="16"/>
      <c r="N72" s="17"/>
    </row>
    <row r="73" spans="1:14" x14ac:dyDescent="0.35">
      <c r="A73" s="13"/>
      <c r="B73" s="14"/>
      <c r="C73" s="14"/>
      <c r="D73" s="14"/>
      <c r="E73" s="14"/>
      <c r="F73" s="14"/>
      <c r="G73" s="14"/>
      <c r="H73" s="14"/>
      <c r="I73" s="15" t="str">
        <f t="shared" ref="I73:I136" si="2">IF(SUM(B73:F73,H73)=0,"",SUM(B73:F73,H73))</f>
        <v/>
      </c>
      <c r="J73" s="15" t="str">
        <f t="shared" ref="J73:J136" si="3">IF(I73="","",1440-I73)</f>
        <v/>
      </c>
      <c r="K73" s="16"/>
      <c r="L73" s="16"/>
      <c r="M73" s="16"/>
      <c r="N73" s="17"/>
    </row>
    <row r="74" spans="1:14" x14ac:dyDescent="0.3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5">
      <c r="A134" s="13"/>
      <c r="B134" s="14"/>
      <c r="C134" s="14"/>
      <c r="D134" s="14"/>
      <c r="E134" s="14"/>
      <c r="F134" s="14"/>
      <c r="G134" s="14"/>
      <c r="H134" s="14"/>
      <c r="I134" s="15" t="str">
        <f t="shared" si="2"/>
        <v/>
      </c>
      <c r="J134" s="15" t="str">
        <f t="shared" si="3"/>
        <v/>
      </c>
      <c r="K134" s="16"/>
      <c r="L134" s="16"/>
      <c r="M134" s="16"/>
      <c r="N134" s="17"/>
    </row>
    <row r="135" spans="1:14" x14ac:dyDescent="0.3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2"/>
        <v/>
      </c>
      <c r="J135" s="15" t="str">
        <f t="shared" si="3"/>
        <v/>
      </c>
      <c r="K135" s="16"/>
      <c r="L135" s="16"/>
      <c r="M135" s="16"/>
      <c r="N135" s="17"/>
    </row>
    <row r="136" spans="1:14" x14ac:dyDescent="0.3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2"/>
        <v/>
      </c>
      <c r="J136" s="15" t="str">
        <f t="shared" si="3"/>
        <v/>
      </c>
      <c r="K136" s="16"/>
      <c r="L136" s="16"/>
      <c r="M136" s="16"/>
      <c r="N136" s="17"/>
    </row>
    <row r="137" spans="1:14" x14ac:dyDescent="0.35">
      <c r="A137" s="13"/>
      <c r="B137" s="14"/>
      <c r="C137" s="14"/>
      <c r="D137" s="14"/>
      <c r="E137" s="14"/>
      <c r="F137" s="14"/>
      <c r="G137" s="14"/>
      <c r="H137" s="14"/>
      <c r="I137" s="15" t="str">
        <f t="shared" ref="I137:I200" si="4">IF(SUM(B137:F137,H137)=0,"",SUM(B137:F137,H137))</f>
        <v/>
      </c>
      <c r="J137" s="15" t="str">
        <f t="shared" ref="J137:J200" si="5">IF(I137="","",1440-I137)</f>
        <v/>
      </c>
      <c r="K137" s="16"/>
      <c r="L137" s="16"/>
      <c r="M137" s="16"/>
      <c r="N137" s="17"/>
    </row>
    <row r="138" spans="1:14" x14ac:dyDescent="0.3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5">
      <c r="A198" s="13"/>
      <c r="B198" s="14"/>
      <c r="C198" s="14"/>
      <c r="D198" s="14"/>
      <c r="E198" s="14"/>
      <c r="F198" s="14"/>
      <c r="G198" s="14"/>
      <c r="H198" s="14"/>
      <c r="I198" s="15" t="str">
        <f t="shared" si="4"/>
        <v/>
      </c>
      <c r="J198" s="15" t="str">
        <f t="shared" si="5"/>
        <v/>
      </c>
      <c r="K198" s="16"/>
      <c r="L198" s="16"/>
      <c r="M198" s="16"/>
      <c r="N198" s="17"/>
    </row>
    <row r="199" spans="1:14" x14ac:dyDescent="0.3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4"/>
        <v/>
      </c>
      <c r="J199" s="15" t="str">
        <f t="shared" si="5"/>
        <v/>
      </c>
      <c r="K199" s="16"/>
      <c r="L199" s="16"/>
      <c r="M199" s="16"/>
      <c r="N199" s="17"/>
    </row>
    <row r="200" spans="1:14" x14ac:dyDescent="0.3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4"/>
        <v/>
      </c>
      <c r="J200" s="15" t="str">
        <f t="shared" si="5"/>
        <v/>
      </c>
      <c r="K200" s="16"/>
      <c r="L200" s="16"/>
      <c r="M200" s="16"/>
      <c r="N200" s="17"/>
    </row>
    <row r="201" spans="1:14" x14ac:dyDescent="0.35">
      <c r="A201" s="13"/>
      <c r="B201" s="14"/>
      <c r="C201" s="14"/>
      <c r="D201" s="14"/>
      <c r="E201" s="14"/>
      <c r="F201" s="14"/>
      <c r="G201" s="14"/>
      <c r="H201" s="14"/>
      <c r="I201" s="15" t="str">
        <f t="shared" ref="I201:I264" si="6">IF(SUM(B201:F201,H201)=0,"",SUM(B201:F201,H201))</f>
        <v/>
      </c>
      <c r="J201" s="15" t="str">
        <f t="shared" ref="J201:J264" si="7">IF(I201="","",1440-I201)</f>
        <v/>
      </c>
      <c r="K201" s="16"/>
      <c r="L201" s="16"/>
      <c r="M201" s="16"/>
      <c r="N201" s="17"/>
    </row>
    <row r="202" spans="1:14" x14ac:dyDescent="0.3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5">
      <c r="A262" s="13"/>
      <c r="B262" s="14"/>
      <c r="C262" s="14"/>
      <c r="D262" s="14"/>
      <c r="E262" s="14"/>
      <c r="F262" s="14"/>
      <c r="G262" s="14"/>
      <c r="H262" s="14"/>
      <c r="I262" s="15" t="str">
        <f t="shared" si="6"/>
        <v/>
      </c>
      <c r="J262" s="15" t="str">
        <f t="shared" si="7"/>
        <v/>
      </c>
      <c r="K262" s="16"/>
      <c r="L262" s="16"/>
      <c r="M262" s="16"/>
      <c r="N262" s="17"/>
    </row>
    <row r="263" spans="1:14" x14ac:dyDescent="0.3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6"/>
        <v/>
      </c>
      <c r="J263" s="15" t="str">
        <f t="shared" si="7"/>
        <v/>
      </c>
      <c r="K263" s="16"/>
      <c r="L263" s="16"/>
      <c r="M263" s="16"/>
      <c r="N263" s="17"/>
    </row>
    <row r="264" spans="1:14" x14ac:dyDescent="0.3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6"/>
        <v/>
      </c>
      <c r="J264" s="15" t="str">
        <f t="shared" si="7"/>
        <v/>
      </c>
      <c r="K264" s="16"/>
      <c r="L264" s="16"/>
      <c r="M264" s="16"/>
      <c r="N264" s="17"/>
    </row>
    <row r="265" spans="1:14" x14ac:dyDescent="0.35">
      <c r="A265" s="13"/>
      <c r="B265" s="14"/>
      <c r="C265" s="14"/>
      <c r="D265" s="14"/>
      <c r="E265" s="14"/>
      <c r="F265" s="14"/>
      <c r="G265" s="14"/>
      <c r="H265" s="14"/>
      <c r="I265" s="15" t="str">
        <f t="shared" ref="I265:I328" si="8">IF(SUM(B265:F265,H265)=0,"",SUM(B265:F265,H265))</f>
        <v/>
      </c>
      <c r="J265" s="15" t="str">
        <f t="shared" ref="J265:J328" si="9">IF(I265="","",1440-I265)</f>
        <v/>
      </c>
      <c r="K265" s="16"/>
      <c r="L265" s="16"/>
      <c r="M265" s="16"/>
      <c r="N265" s="17"/>
    </row>
    <row r="266" spans="1:14" x14ac:dyDescent="0.3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5">
      <c r="A326" s="13"/>
      <c r="B326" s="14"/>
      <c r="C326" s="14"/>
      <c r="D326" s="14"/>
      <c r="E326" s="14"/>
      <c r="F326" s="14"/>
      <c r="G326" s="14"/>
      <c r="H326" s="14"/>
      <c r="I326" s="15" t="str">
        <f t="shared" si="8"/>
        <v/>
      </c>
      <c r="J326" s="15" t="str">
        <f t="shared" si="9"/>
        <v/>
      </c>
      <c r="K326" s="16"/>
      <c r="L326" s="16"/>
      <c r="M326" s="16"/>
      <c r="N326" s="17"/>
    </row>
    <row r="327" spans="1:14" x14ac:dyDescent="0.3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8"/>
        <v/>
      </c>
      <c r="J327" s="15" t="str">
        <f t="shared" si="9"/>
        <v/>
      </c>
      <c r="K327" s="16"/>
      <c r="L327" s="16"/>
      <c r="M327" s="16"/>
      <c r="N327" s="17"/>
    </row>
    <row r="328" spans="1:14" x14ac:dyDescent="0.3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8"/>
        <v/>
      </c>
      <c r="J328" s="15" t="str">
        <f t="shared" si="9"/>
        <v/>
      </c>
      <c r="K328" s="16"/>
      <c r="L328" s="16"/>
      <c r="M328" s="16"/>
      <c r="N328" s="17"/>
    </row>
    <row r="329" spans="1:14" x14ac:dyDescent="0.35">
      <c r="A329" s="13"/>
      <c r="B329" s="14"/>
      <c r="C329" s="14"/>
      <c r="D329" s="14"/>
      <c r="E329" s="14"/>
      <c r="F329" s="14"/>
      <c r="G329" s="14"/>
      <c r="H329" s="14"/>
      <c r="I329" s="15" t="str">
        <f t="shared" ref="I329:I392" si="10">IF(SUM(B329:F329,H329)=0,"",SUM(B329:F329,H329))</f>
        <v/>
      </c>
      <c r="J329" s="15" t="str">
        <f t="shared" ref="J329:J392" si="11">IF(I329="","",1440-I329)</f>
        <v/>
      </c>
      <c r="K329" s="16"/>
      <c r="L329" s="16"/>
      <c r="M329" s="16"/>
      <c r="N329" s="17"/>
    </row>
    <row r="330" spans="1:14" x14ac:dyDescent="0.3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5">
      <c r="A390" s="13"/>
      <c r="B390" s="14"/>
      <c r="C390" s="14"/>
      <c r="D390" s="14"/>
      <c r="E390" s="14"/>
      <c r="F390" s="14"/>
      <c r="G390" s="14"/>
      <c r="H390" s="14"/>
      <c r="I390" s="15" t="str">
        <f t="shared" si="10"/>
        <v/>
      </c>
      <c r="J390" s="15" t="str">
        <f t="shared" si="11"/>
        <v/>
      </c>
      <c r="K390" s="16"/>
      <c r="L390" s="16"/>
      <c r="M390" s="16"/>
      <c r="N390" s="17"/>
    </row>
    <row r="391" spans="1:14" x14ac:dyDescent="0.3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0"/>
        <v/>
      </c>
      <c r="J391" s="15" t="str">
        <f t="shared" si="11"/>
        <v/>
      </c>
      <c r="K391" s="16"/>
      <c r="L391" s="16"/>
      <c r="M391" s="16"/>
      <c r="N391" s="17"/>
    </row>
    <row r="392" spans="1:14" x14ac:dyDescent="0.3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0"/>
        <v/>
      </c>
      <c r="J392" s="15" t="str">
        <f t="shared" si="11"/>
        <v/>
      </c>
      <c r="K392" s="16"/>
      <c r="L392" s="16"/>
      <c r="M392" s="16"/>
      <c r="N392" s="17"/>
    </row>
    <row r="393" spans="1:14" x14ac:dyDescent="0.35">
      <c r="A393" s="13"/>
      <c r="B393" s="14"/>
      <c r="C393" s="14"/>
      <c r="D393" s="14"/>
      <c r="E393" s="14"/>
      <c r="F393" s="14"/>
      <c r="G393" s="14"/>
      <c r="H393" s="14"/>
      <c r="I393" s="15" t="str">
        <f t="shared" ref="I393:I404" si="12">IF(SUM(B393:F393,H393)=0,"",SUM(B393:F393,H393))</f>
        <v/>
      </c>
      <c r="J393" s="15" t="str">
        <f t="shared" ref="J393:J404" si="13">IF(I393="","",1440-I393)</f>
        <v/>
      </c>
      <c r="K393" s="16"/>
      <c r="L393" s="16"/>
      <c r="M393" s="16"/>
      <c r="N393" s="17"/>
    </row>
    <row r="394" spans="1:14" x14ac:dyDescent="0.3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  <row r="402" spans="1:14" x14ac:dyDescent="0.35">
      <c r="A402" s="13"/>
      <c r="B402" s="14"/>
      <c r="C402" s="14"/>
      <c r="D402" s="14"/>
      <c r="E402" s="14"/>
      <c r="F402" s="14"/>
      <c r="G402" s="14"/>
      <c r="H402" s="14"/>
      <c r="I402" s="15" t="str">
        <f t="shared" si="12"/>
        <v/>
      </c>
      <c r="J402" s="15" t="str">
        <f t="shared" si="13"/>
        <v/>
      </c>
      <c r="K402" s="16"/>
      <c r="L402" s="16"/>
      <c r="M402" s="16"/>
      <c r="N402" s="17"/>
    </row>
    <row r="403" spans="1:14" x14ac:dyDescent="0.35">
      <c r="A403" s="13"/>
      <c r="B403" s="14"/>
      <c r="C403" s="14"/>
      <c r="D403" s="14"/>
      <c r="E403" s="14"/>
      <c r="F403" s="14"/>
      <c r="G403" s="14"/>
      <c r="H403" s="14"/>
      <c r="I403" s="15" t="str">
        <f t="shared" si="12"/>
        <v/>
      </c>
      <c r="J403" s="15" t="str">
        <f t="shared" si="13"/>
        <v/>
      </c>
      <c r="K403" s="16"/>
      <c r="L403" s="16"/>
      <c r="M403" s="16"/>
      <c r="N403" s="17"/>
    </row>
    <row r="404" spans="1:14" x14ac:dyDescent="0.35">
      <c r="A404" s="13"/>
      <c r="B404" s="14"/>
      <c r="C404" s="14"/>
      <c r="D404" s="14"/>
      <c r="E404" s="14"/>
      <c r="F404" s="14"/>
      <c r="G404" s="14"/>
      <c r="H404" s="14"/>
      <c r="I404" s="15" t="str">
        <f t="shared" si="12"/>
        <v/>
      </c>
      <c r="J404" s="15" t="str">
        <f t="shared" si="13"/>
        <v/>
      </c>
      <c r="K404" s="16"/>
      <c r="L404" s="16"/>
      <c r="M404" s="16"/>
      <c r="N404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37:J404 J6:J35">
    <cfRule type="cellIs" dxfId="1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4">
      <formula1>"Excellent,Good,Neutral,Low,Stressed"</formula1>
      <formula2>0</formula2>
    </dataValidation>
    <dataValidation type="list" allowBlank="1" prompt="Select today's satisfaction level" sqref="L6:L404">
      <formula1>"Very Satisfied,Satisfied,Neutral,Unsatisfied,Very Unsatisfied"</formula1>
      <formula2>0</formula2>
    </dataValidation>
    <dataValidation type="list" allowBlank="1" prompt="Select today's energy level" sqref="M6:M404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hp</cp:lastModifiedBy>
  <cp:revision>0</cp:revision>
  <dcterms:created xsi:type="dcterms:W3CDTF">2026-07-24T11:49:30Z</dcterms:created>
  <dcterms:modified xsi:type="dcterms:W3CDTF">2026-09-17T17:57:40Z</dcterms:modified>
  <dc:language>en-US</dc:language>
</cp:coreProperties>
</file>